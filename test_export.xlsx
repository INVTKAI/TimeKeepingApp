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or Detail" sheetId="1" state="visible" r:id="rId3"/>
    <sheet name="Summary by Project" sheetId="2" state="visible" r:id="rId4"/>
    <sheet name="Wage Rates" sheetId="3" state="visible" r:id="rId5"/>
  </sheets>
  <definedNames>
    <definedName function="false" hidden="true" localSheetId="0" name="_xlnm._FilterDatabase" vbProcedure="false">'Labor Detail'!$A$1:$S$6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<sst xmlns="http://schemas.openxmlformats.org/spreadsheetml/2006/main" count="84" uniqueCount="46">
  <si>
    <t xml:space="preserve">Source</t>
  </si>
  <si>
    <t xml:space="preserve">Employee</t>
  </si>
  <si>
    <t xml:space="preserve">Emp ID</t>
  </si>
  <si>
    <t xml:space="preserve">Craft</t>
  </si>
  <si>
    <t xml:space="preserve">Date</t>
  </si>
  <si>
    <t xml:space="preserve">Day</t>
  </si>
  <si>
    <t xml:space="preserve">Project #</t>
  </si>
  <si>
    <t xml:space="preserve">Project Name</t>
  </si>
  <si>
    <t xml:space="preserve">Area</t>
  </si>
  <si>
    <t xml:space="preserve">Task Code</t>
  </si>
  <si>
    <t xml:space="preserve">FCO/PCR</t>
  </si>
  <si>
    <t xml:space="preserve">Type</t>
  </si>
  <si>
    <t xml:space="preserve">Hours</t>
  </si>
  <si>
    <t xml:space="preserve">Base Rate</t>
  </si>
  <si>
    <t xml:space="preserve">Base Cost</t>
  </si>
  <si>
    <t xml:space="preserve">Burdened Rate</t>
  </si>
  <si>
    <t xml:space="preserve">Burdened Cost</t>
  </si>
  <si>
    <t xml:space="preserve">Billable Rate</t>
  </si>
  <si>
    <t xml:space="preserve">Billable Amount</t>
  </si>
  <si>
    <t xml:space="preserve">Staff</t>
  </si>
  <si>
    <t xml:space="preserve">Smith, John</t>
  </si>
  <si>
    <t xml:space="preserve">E001</t>
  </si>
  <si>
    <t xml:space="preserve">Engineer</t>
  </si>
  <si>
    <t xml:space="preserve">2024-04-08</t>
  </si>
  <si>
    <t xml:space="preserve">Monday</t>
  </si>
  <si>
    <t xml:space="preserve">2024-001</t>
  </si>
  <si>
    <t xml:space="preserve">Refinery Turnaround</t>
  </si>
  <si>
    <t xml:space="preserve">UNIT-1</t>
  </si>
  <si>
    <t xml:space="preserve">ENGR</t>
  </si>
  <si>
    <t xml:space="preserve">ST</t>
  </si>
  <si>
    <t xml:space="preserve">OT</t>
  </si>
  <si>
    <t xml:space="preserve">Field</t>
  </si>
  <si>
    <t xml:space="preserve">Garcia, Carlos</t>
  </si>
  <si>
    <t xml:space="preserve">E004</t>
  </si>
  <si>
    <t xml:space="preserve">Pipefitter</t>
  </si>
  <si>
    <t xml:space="preserve">INST</t>
  </si>
  <si>
    <t xml:space="preserve">UNIT-2</t>
  </si>
  <si>
    <t xml:space="preserve">FAB</t>
  </si>
  <si>
    <t xml:space="preserve">FCO-101</t>
  </si>
  <si>
    <t xml:space="preserve">TOTALS</t>
  </si>
  <si>
    <t xml:space="preserve">ST Hours</t>
  </si>
  <si>
    <t xml:space="preserve">OT Hours</t>
  </si>
  <si>
    <t xml:space="preserve">Total Hours</t>
  </si>
  <si>
    <t xml:space="preserve">Margin %</t>
  </si>
  <si>
    <t xml:space="preserve">OT Rate</t>
  </si>
  <si>
    <t xml:space="preserve">Effective 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</si>
</sst>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\$#,##0.00;&quot;($&quot;#,##0.00\);\-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56DB"/>
        <bgColor rgb="FF3366FF"/>
      </patternFill>
    </fill>
    <fill>
      <patternFill patternType="solid">
        <fgColor rgb="FFF3F4F6"/>
        <bgColor rgb="FFFFFFFF"/>
      </patternFill>
    </fill>
    <fill>
      <patternFill patternType="solid">
        <fgColor rgb="FF05966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double">
        <color rgb="FF37415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56DB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1A56DB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24"/>
    <col collapsed="false" customWidth="true" hidden="false" outlineLevel="0" max="11" min="9" style="0" width="10"/>
    <col collapsed="false" customWidth="true" hidden="false" outlineLevel="0" max="12" min="12" style="0" width="5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7" min="15" style="0" width="12"/>
    <col collapsed="false" customWidth="true" hidden="false" outlineLevel="0" max="18" min="18" style="0" width="10"/>
    <col collapsed="false" customWidth="true" hidden="false" outlineLevel="0" max="19" min="19" style="0" width="12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/>
      <c r="L2" s="2" t="s">
        <v>29</v>
      </c>
      <c r="M2" s="3" t="n">
        <v>8</v>
      </c>
      <c r="N2" s="4" t="n">
        <v>55</v>
      </c>
      <c r="O2" s="4" t="n">
        <v>440</v>
      </c>
      <c r="P2" s="4" t="n">
        <v>77</v>
      </c>
      <c r="Q2" s="4" t="n">
        <v>616</v>
      </c>
      <c r="R2" s="4" t="n">
        <v>125</v>
      </c>
      <c r="S2" s="4" t="n">
        <v>1000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/>
      <c r="L3" s="5" t="s">
        <v>30</v>
      </c>
      <c r="M3" s="3" t="n">
        <v>2</v>
      </c>
      <c r="N3" s="4" t="n">
        <v>82.5</v>
      </c>
      <c r="O3" s="4" t="n">
        <v>165</v>
      </c>
      <c r="P3" s="4" t="n">
        <v>115.5</v>
      </c>
      <c r="Q3" s="4" t="n">
        <v>231</v>
      </c>
      <c r="R3" s="4" t="n">
        <v>187.5</v>
      </c>
      <c r="S3" s="4" t="n">
        <v>375</v>
      </c>
    </row>
    <row r="4" customFormat="false" ht="15" hidden="false" customHeight="fals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35</v>
      </c>
      <c r="K4" s="2"/>
      <c r="L4" s="2" t="s">
        <v>29</v>
      </c>
      <c r="M4" s="3" t="n">
        <v>4</v>
      </c>
      <c r="N4" s="4" t="n">
        <v>42</v>
      </c>
      <c r="O4" s="4" t="n">
        <v>168</v>
      </c>
      <c r="P4" s="4" t="n">
        <v>58.8</v>
      </c>
      <c r="Q4" s="4" t="n">
        <v>235.2</v>
      </c>
      <c r="R4" s="4" t="n">
        <v>95</v>
      </c>
      <c r="S4" s="4" t="n">
        <v>380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34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36</v>
      </c>
      <c r="J5" s="2" t="s">
        <v>37</v>
      </c>
      <c r="K5" s="2" t="s">
        <v>38</v>
      </c>
      <c r="L5" s="2" t="s">
        <v>29</v>
      </c>
      <c r="M5" s="3" t="n">
        <v>4</v>
      </c>
      <c r="N5" s="4" t="n">
        <v>42</v>
      </c>
      <c r="O5" s="4" t="n">
        <v>168</v>
      </c>
      <c r="P5" s="4" t="n">
        <v>58.8</v>
      </c>
      <c r="Q5" s="4" t="n">
        <v>235.2</v>
      </c>
      <c r="R5" s="4" t="n">
        <v>95</v>
      </c>
      <c r="S5" s="4" t="n">
        <v>380</v>
      </c>
    </row>
    <row r="6" customFormat="false" ht="15" hidden="false" customHeight="false" outlineLevel="0" collapsed="false">
      <c r="A6" s="6" t="s">
        <v>39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 t="n">
        <f aca="false">SUM(M2:M5)</f>
        <v>18</v>
      </c>
      <c r="N6" s="6"/>
      <c r="O6" s="8" t="n">
        <f aca="false">SUM(O2:O5)</f>
        <v>941</v>
      </c>
      <c r="P6" s="6"/>
      <c r="Q6" s="8" t="n">
        <f aca="false">SUM(Q2:Q5)</f>
        <v>1317.4</v>
      </c>
      <c r="R6" s="6"/>
      <c r="S6" s="8" t="n">
        <f aca="false">SUM(S2:S5)</f>
        <v>2135</v>
      </c>
    </row>
  </sheetData>
  <autoFilter ref="A1:S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5" min="3" style="0" width="10"/>
    <col collapsed="false" customWidth="true" hidden="false" outlineLevel="0" max="8" min="6" style="0" width="14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9" t="s">
        <v>6</v>
      </c>
      <c r="B1" s="9" t="s">
        <v>7</v>
      </c>
      <c r="C1" s="9" t="s">
        <v>40</v>
      </c>
      <c r="D1" s="9" t="s">
        <v>41</v>
      </c>
      <c r="E1" s="9" t="s">
        <v>42</v>
      </c>
      <c r="F1" s="9" t="s">
        <v>14</v>
      </c>
      <c r="G1" s="9" t="s">
        <v>16</v>
      </c>
      <c r="H1" s="9" t="s">
        <v>18</v>
      </c>
      <c r="I1" s="9" t="s">
        <v>43</v>
      </c>
    </row>
    <row r="2" customFormat="false" ht="15" hidden="false" customHeight="false" outlineLevel="0" collapsed="false">
      <c r="A2" s="2" t="s">
        <v>25</v>
      </c>
      <c r="B2" s="2" t="s">
        <v>26</v>
      </c>
      <c r="C2" s="10" t="n">
        <v>16</v>
      </c>
      <c r="D2" s="10" t="n">
        <v>2</v>
      </c>
      <c r="E2" s="10" t="n">
        <v>18</v>
      </c>
      <c r="F2" s="11" t="n">
        <v>941</v>
      </c>
      <c r="G2" s="11" t="n">
        <v>1317.4</v>
      </c>
      <c r="H2" s="11" t="n">
        <v>2135</v>
      </c>
      <c r="I2" s="12" t="n">
        <v>0.382950819672131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3" t="s">
        <v>1</v>
      </c>
      <c r="B1" s="13" t="s">
        <v>2</v>
      </c>
      <c r="C1" s="13" t="s">
        <v>3</v>
      </c>
      <c r="D1" s="13" t="s">
        <v>13</v>
      </c>
      <c r="E1" s="13" t="s">
        <v>44</v>
      </c>
      <c r="F1" s="13" t="s">
        <v>15</v>
      </c>
      <c r="G1" s="13" t="s">
        <v>17</v>
      </c>
      <c r="H1" s="1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2026-04-13T05:31:43Z</dcterms:created>
  <dc:creator>openpyxl</dc:creator>
  <dc:description/>
  <dc:language>en-US</dc:language>
  <cp:lastModifiedBy/>
  <dcterms:modified xsi:type="dcterms:W3CDTF">2026-04-13T05:31:43Z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